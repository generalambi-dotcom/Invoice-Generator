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Precision Auto Works — Certified Mechanics • All Makes &amp; Models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AR-2026-264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Mr. Tajudeen Bakare</v>
      </c>
      <c r="E14" t="str">
        <v>Vehicle:</v>
      </c>
      <c r="F14" t="str">
        <v>2018 Toyota Camry SE</v>
      </c>
    </row>
    <row r="15">
      <c r="B15" t="str">
        <v>Address:</v>
      </c>
      <c r="C15" t="str">
        <v>22 Aliu Close, Surulere, Lagos</v>
      </c>
      <c r="E15" t="str">
        <v>VIN:</v>
      </c>
      <c r="F15" t="str">
        <v>4T1B11HK4JU612849</v>
      </c>
    </row>
    <row r="16">
      <c r="E16" t="str">
        <v>Licence Plate:</v>
      </c>
      <c r="F16" t="str">
        <v>LAG-421-KJA</v>
      </c>
    </row>
    <row r="17">
      <c r="E17" t="str">
        <v>Odometer:</v>
      </c>
      <c r="F17" t="str">
        <v>78,450 km</v>
      </c>
    </row>
    <row r="18">
      <c r="E18" t="str">
        <v>Service Date:</v>
      </c>
      <c r="F18" t="str">
        <v>April 17, 2026</v>
      </c>
    </row>
    <row r="19">
      <c r="E19" t="str">
        <v>Mechanic:</v>
      </c>
      <c r="F19" t="str">
        <v>Mr. Segun Adebayo</v>
      </c>
    </row>
    <row r="20">
      <c r="E20" t="str">
        <v>Warranty:</v>
      </c>
      <c r="F20" t="str">
        <v>6 months / 10,000 km on parts &amp; labour</v>
      </c>
    </row>
    <row r="23">
      <c r="B23" t="str">
        <v>#</v>
      </c>
      <c r="C23" t="str">
        <v>Description</v>
      </c>
      <c r="E23" t="str">
        <v>Qty</v>
      </c>
      <c r="F23" t="str">
        <v>Unit Price (₦)</v>
      </c>
      <c r="G23" t="str">
        <v>Amount (₦)</v>
      </c>
    </row>
    <row r="24">
      <c r="B24">
        <v>1</v>
      </c>
      <c r="C24" t="str">
        <v>Diagnostic — OBD-II Full System Scan</v>
      </c>
      <c r="E24" s="1">
        <v>1</v>
      </c>
      <c r="F24" s="2">
        <v>15000</v>
      </c>
      <c r="G24" s="2">
        <f>E24*F24</f>
      </c>
    </row>
    <row r="25">
      <c r="B25">
        <v>2</v>
      </c>
      <c r="C25" t="str">
        <v>Labour — Brake pad replacement (hours)</v>
      </c>
      <c r="E25" s="1">
        <v>1.5</v>
      </c>
      <c r="F25" s="2">
        <v>12000</v>
      </c>
      <c r="G25" s="2">
        <f>E25*F25</f>
      </c>
    </row>
    <row r="26">
      <c r="B26">
        <v>3</v>
      </c>
      <c r="C26" t="str">
        <v>Labour — Oil change &amp; filter (hours)</v>
      </c>
      <c r="E26" s="1">
        <v>0.5</v>
      </c>
      <c r="F26" s="2">
        <v>12000</v>
      </c>
      <c r="G26" s="2">
        <f>E26*F26</f>
      </c>
    </row>
    <row r="27">
      <c r="B27">
        <v>4</v>
      </c>
      <c r="C27" t="str">
        <v>Parts — Brake Pads (Front, OEM)</v>
      </c>
      <c r="E27" s="1">
        <v>1</v>
      </c>
      <c r="F27" s="2">
        <v>42000</v>
      </c>
      <c r="G27" s="2">
        <f>E27*F27</f>
      </c>
    </row>
    <row r="28">
      <c r="B28">
        <v>5</v>
      </c>
      <c r="C28" t="str">
        <v>Parts — Brake Fluid (DOT 4)</v>
      </c>
      <c r="E28" s="1">
        <v>1</v>
      </c>
      <c r="F28" s="2">
        <v>8500</v>
      </c>
      <c r="G28" s="2">
        <f>E28*F28</f>
      </c>
    </row>
    <row r="29">
      <c r="B29">
        <v>6</v>
      </c>
      <c r="C29" t="str">
        <v>Parts — Engine Oil (5W-30, Full Synthetic, 4L)</v>
      </c>
      <c r="E29" s="1">
        <v>1</v>
      </c>
      <c r="F29" s="2">
        <v>22000</v>
      </c>
      <c r="G29" s="2">
        <f>E29*F29</f>
      </c>
    </row>
    <row r="30">
      <c r="B30">
        <v>7</v>
      </c>
      <c r="C30" t="str">
        <v>Parts — Oil Filter (OEM)</v>
      </c>
      <c r="E30" s="1">
        <v>1</v>
      </c>
      <c r="F30" s="2">
        <v>6500</v>
      </c>
      <c r="G30" s="2">
        <f>E30*F30</f>
      </c>
    </row>
    <row r="32">
      <c r="E32" t="str">
        <v>Subtotal:</v>
      </c>
      <c r="G32" s="2">
        <f>SUM(G24:G30)</f>
      </c>
    </row>
    <row r="33">
      <c r="E33" t="str">
        <v>VAT (%):</v>
      </c>
      <c r="F33" s="3">
        <v>7.5</v>
      </c>
      <c r="G33" s="2">
        <f>ROUND(G32*F33/100,2)</f>
      </c>
    </row>
    <row r="34">
      <c r="E34" t="str">
        <v>TOTAL DUE:</v>
      </c>
      <c r="G34" s="2">
        <f>G32+G33</f>
      </c>
    </row>
    <row r="35">
      <c r="E35" t="str">
        <v>Amount Paid:</v>
      </c>
      <c r="G35" s="2">
        <v>0</v>
      </c>
    </row>
    <row r="36">
      <c r="E36" t="str">
        <v>Balance Due:</v>
      </c>
      <c r="G36" s="2">
        <f>G34-G35</f>
      </c>
    </row>
    <row r="38">
      <c r="B38" t="str">
        <v>PAYMENT DETAILS</v>
      </c>
    </row>
    <row r="39">
      <c r="B39" t="str">
        <v>Bank:</v>
      </c>
      <c r="C39" t="str">
        <v>UBA</v>
      </c>
    </row>
    <row r="40">
      <c r="B40" t="str">
        <v>Account Name:</v>
      </c>
      <c r="C40" t="str">
        <v>Precision Auto Works</v>
      </c>
    </row>
    <row r="41">
      <c r="B41" t="str">
        <v>Account Number:</v>
      </c>
      <c r="C41" t="str">
        <v>1034587612</v>
      </c>
    </row>
    <row r="43">
      <c r="B43" t="str">
        <v>NOTES</v>
      </c>
    </row>
    <row r="44">
      <c r="B44" t="str">
        <v>Vehicle test-driven and returned to customer in good working order. Recommended next service: 85,000 km (brake fluid flush).</v>
      </c>
    </row>
    <row r="46">
      <c r="B46" t="str">
        <v>TERMS &amp; CONDITIONS</v>
      </c>
    </row>
    <row r="47">
      <c r="B47" t="str">
        <v>Payment due on collection. Diagnostic fee is waived if repair work is carried out.</v>
      </c>
    </row>
  </sheetData>
  <mergeCells count="12">
    <mergeCell ref="B1:G1"/>
    <mergeCell ref="B2:G2"/>
    <mergeCell ref="C23:D23"/>
    <mergeCell ref="C24:D24"/>
    <mergeCell ref="C25:D25"/>
    <mergeCell ref="C26:D26"/>
    <mergeCell ref="C27:D27"/>
    <mergeCell ref="C28:D28"/>
    <mergeCell ref="C29:D29"/>
    <mergeCell ref="C30:D30"/>
    <mergeCell ref="B44:G44"/>
    <mergeCell ref="B47:G47"/>
  </mergeCells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