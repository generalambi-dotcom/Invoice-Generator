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Gourmet Table Catering — Corporate Events • Weddings • Private Dining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CT-2026-084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Ogunsanya Wedding — c/o Mrs. Ronke Ogunsanya</v>
      </c>
      <c r="E14" t="str">
        <v>Event Date:</v>
      </c>
      <c r="F14" t="str">
        <v>May 20, 2026</v>
      </c>
    </row>
    <row r="15">
      <c r="B15" t="str">
        <v>Address:</v>
      </c>
      <c r="C15" t="str">
        <v>18 Park Lane, Ikoyi, Lagos</v>
      </c>
      <c r="E15" t="str">
        <v>Event Type:</v>
      </c>
      <c r="F15" t="str">
        <v>Wedding Reception</v>
      </c>
    </row>
    <row r="16">
      <c r="E16" t="str">
        <v>Venue:</v>
      </c>
      <c r="F16" t="str">
        <v>Eko Hotel Grand Ballroom, Victoria Island</v>
      </c>
    </row>
    <row r="17">
      <c r="E17" t="str">
        <v>Guest Count:</v>
      </c>
      <c r="F17" t="str">
        <v>150 plated</v>
      </c>
    </row>
    <row r="18">
      <c r="E18" t="str">
        <v>Menu:</v>
      </c>
      <c r="F18" t="str">
        <v>3-course plated dinner + cocktail canapés</v>
      </c>
    </row>
    <row r="19">
      <c r="E19" t="str">
        <v>Arrival Time:</v>
      </c>
      <c r="F19" t="str">
        <v>3:00 PM for 6:30 PM service</v>
      </c>
    </row>
    <row r="22">
      <c r="B22" t="str">
        <v>#</v>
      </c>
      <c r="C22" t="str">
        <v>Description</v>
      </c>
      <c r="E22" t="str">
        <v>Qty</v>
      </c>
      <c r="F22" t="str">
        <v>Unit Price (₦)</v>
      </c>
      <c r="G22" t="str">
        <v>Amount (₦)</v>
      </c>
    </row>
    <row r="23">
      <c r="B23">
        <v>1</v>
      </c>
      <c r="C23" t="str">
        <v>Plated Dinner Service — Per Guest (3 courses)</v>
      </c>
      <c r="E23" s="1">
        <v>150</v>
      </c>
      <c r="F23" s="2">
        <v>18500</v>
      </c>
      <c r="G23" s="2">
        <f>E23*F23</f>
      </c>
    </row>
    <row r="24">
      <c r="B24">
        <v>2</v>
      </c>
      <c r="C24" t="str">
        <v>Cocktail Canapés — Per Guest</v>
      </c>
      <c r="E24" s="1">
        <v>150</v>
      </c>
      <c r="F24" s="2">
        <v>4500</v>
      </c>
      <c r="G24" s="2">
        <f>E24*F24</f>
      </c>
    </row>
    <row r="25">
      <c r="B25">
        <v>3</v>
      </c>
      <c r="C25" t="str">
        <v>Service Staff (waiters, 8 staff × 6 hours)</v>
      </c>
      <c r="E25" s="1">
        <v>48</v>
      </c>
      <c r="F25" s="2">
        <v>5500</v>
      </c>
      <c r="G25" s="2">
        <f>E25*F25</f>
      </c>
    </row>
    <row r="26">
      <c r="B26">
        <v>4</v>
      </c>
      <c r="C26" t="str">
        <v>Tableware &amp; Linen Rentals</v>
      </c>
      <c r="E26" s="1">
        <v>1</v>
      </c>
      <c r="F26" s="2">
        <v>325000</v>
      </c>
      <c r="G26" s="2">
        <f>E26*F26</f>
      </c>
    </row>
    <row r="27">
      <c r="B27">
        <v>5</v>
      </c>
      <c r="C27" t="str">
        <v>Beverages Package (soft drinks, water, juice)</v>
      </c>
      <c r="E27" s="1">
        <v>150</v>
      </c>
      <c r="F27" s="2">
        <v>3500</v>
      </c>
      <c r="G27" s="2">
        <f>E27*F27</f>
      </c>
    </row>
    <row r="28">
      <c r="B28">
        <v>6</v>
      </c>
      <c r="C28" t="str">
        <v>Setup &amp; Breakdown Fee</v>
      </c>
      <c r="E28" s="1">
        <v>1</v>
      </c>
      <c r="F28" s="2">
        <v>150000</v>
      </c>
      <c r="G28" s="2">
        <f>E28*F28</f>
      </c>
    </row>
    <row r="29">
      <c r="B29">
        <v>7</v>
      </c>
      <c r="C29" t="str">
        <v>Gratuity &amp; Service Charge (18%)</v>
      </c>
      <c r="E29" s="1">
        <v>1</v>
      </c>
      <c r="F29" s="2">
        <v>700000</v>
      </c>
      <c r="G29" s="2">
        <f>E29*F29</f>
      </c>
    </row>
    <row r="31">
      <c r="E31" t="str">
        <v>Subtotal:</v>
      </c>
      <c r="G31" s="2">
        <f>SUM(G23:G29)</f>
      </c>
    </row>
    <row r="32">
      <c r="E32" t="str">
        <v>VAT (%):</v>
      </c>
      <c r="F32" s="3">
        <v>7.5</v>
      </c>
      <c r="G32" s="2">
        <f>ROUND(G31*F32/100,2)</f>
      </c>
    </row>
    <row r="33">
      <c r="E33" t="str">
        <v>TOTAL DUE:</v>
      </c>
      <c r="G33" s="2">
        <f>G31+G32</f>
      </c>
    </row>
    <row r="34">
      <c r="E34" t="str">
        <v>Amount Paid:</v>
      </c>
      <c r="G34" s="2">
        <v>0</v>
      </c>
    </row>
    <row r="35">
      <c r="E35" t="str">
        <v>Balance Due:</v>
      </c>
      <c r="G35" s="2">
        <f>G33-G34</f>
      </c>
    </row>
    <row r="37">
      <c r="B37" t="str">
        <v>PAYMENT DETAILS</v>
      </c>
    </row>
    <row r="38">
      <c r="B38" t="str">
        <v>Bank:</v>
      </c>
      <c r="C38" t="str">
        <v>First City Monument Bank</v>
      </c>
    </row>
    <row r="39">
      <c r="B39" t="str">
        <v>Account Name:</v>
      </c>
      <c r="C39" t="str">
        <v>Gourmet Table Catering</v>
      </c>
    </row>
    <row r="40">
      <c r="B40" t="str">
        <v>Account Number:</v>
      </c>
      <c r="C40" t="str">
        <v>0091234876</v>
      </c>
    </row>
    <row r="42">
      <c r="B42" t="str">
        <v>NOTES</v>
      </c>
    </row>
    <row r="43">
      <c r="B43" t="str">
        <v>Final guest count confirmed by May 13 (7 days before event). Dietary restrictions must be communicated 72 hours in advance.</v>
      </c>
    </row>
    <row r="45">
      <c r="B45" t="str">
        <v>TERMS &amp; CONDITIONS</v>
      </c>
    </row>
    <row r="46">
      <c r="B46" t="str">
        <v>50% non-refundable booking fee on signing. Balance due 7 days before event. Cancellations within 14 days forfeit 75% of total.</v>
      </c>
    </row>
  </sheetData>
  <mergeCells count="12">
    <mergeCell ref="B1:G1"/>
    <mergeCell ref="B2:G2"/>
    <mergeCell ref="C22:D22"/>
    <mergeCell ref="C23:D23"/>
    <mergeCell ref="C24:D24"/>
    <mergeCell ref="C25:D25"/>
    <mergeCell ref="C26:D26"/>
    <mergeCell ref="C27:D27"/>
    <mergeCell ref="C28:D28"/>
    <mergeCell ref="C29:D29"/>
    <mergeCell ref="B43:G43"/>
    <mergeCell ref="B46:G46"/>
  </mergeCells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