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RCIAL 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COMMERCIAL INVOICE</v>
      </c>
    </row>
    <row r="2">
      <c r="B2" t="str">
        <v>Pan-Africa Exports Ltd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COMMERCIAL 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CI-2026-014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SHIP TO</v>
      </c>
    </row>
    <row r="14">
      <c r="B14" t="str">
        <v>Client Name:</v>
      </c>
      <c r="C14" t="str">
        <v>European Importer GmbH</v>
      </c>
      <c r="E14" t="str">
        <v>Name:</v>
      </c>
      <c r="F14" t="str">
        <v>European Importer GmbH — Warehouse</v>
      </c>
    </row>
    <row r="15">
      <c r="B15" t="str">
        <v>Address:</v>
      </c>
      <c r="C15" t="str">
        <v>Hauptstrasse 42, 20095 Hamburg, Germany</v>
      </c>
      <c r="E15" t="str">
        <v>Address:</v>
      </c>
      <c r="F15" t="str">
        <v>Lager Strasse 18, 20457 Hamburg Port, Germany</v>
      </c>
    </row>
    <row r="18">
      <c r="B18" t="str">
        <v>ADDITIONAL DETAILS</v>
      </c>
    </row>
    <row r="19">
      <c r="B19" t="str">
        <v>Country of Origin:</v>
      </c>
      <c r="C19" t="str">
        <v>Nigeria</v>
      </c>
    </row>
    <row r="20">
      <c r="B20" t="str">
        <v>Country of Destination:</v>
      </c>
      <c r="C20" t="str">
        <v>Germany</v>
      </c>
    </row>
    <row r="21">
      <c r="B21" t="str">
        <v>Port of Loading:</v>
      </c>
      <c r="C21" t="str">
        <v>Apapa Port, Lagos</v>
      </c>
    </row>
    <row r="22">
      <c r="B22" t="str">
        <v>Port of Discharge:</v>
      </c>
      <c r="C22" t="str">
        <v>Hamburg</v>
      </c>
    </row>
    <row r="23">
      <c r="B23" t="str">
        <v>Incoterms:</v>
      </c>
      <c r="C23" t="str">
        <v>CIF Hamburg</v>
      </c>
    </row>
    <row r="24">
      <c r="B24" t="str">
        <v>Total Net Weight:</v>
      </c>
      <c r="C24" t="str">
        <v>2,450 kg</v>
      </c>
    </row>
    <row r="25">
      <c r="B25" t="str">
        <v>Total Gross Weight:</v>
      </c>
      <c r="C25" t="str">
        <v>2,680 kg</v>
      </c>
    </row>
    <row r="26">
      <c r="B26" t="str">
        <v>Packages:</v>
      </c>
      <c r="C26" t="str">
        <v>48 cartons</v>
      </c>
    </row>
    <row r="27">
      <c r="B27" t="str">
        <v>Mode of Transport:</v>
      </c>
      <c r="C27" t="str">
        <v>Ocean freight</v>
      </c>
    </row>
    <row r="28">
      <c r="B28" t="str">
        <v>Bill of Lading:</v>
      </c>
      <c r="C28" t="str">
        <v>BL-PA2026-0814</v>
      </c>
    </row>
    <row r="30">
      <c r="B30" t="str">
        <v>#</v>
      </c>
      <c r="C30" t="str">
        <v>Description</v>
      </c>
      <c r="E30" t="str">
        <v>Qty</v>
      </c>
      <c r="F30" t="str">
        <v>Unit Price (₦)</v>
      </c>
      <c r="G30" t="str">
        <v>Amount (₦)</v>
      </c>
    </row>
    <row r="31">
      <c r="B31">
        <v>1</v>
      </c>
      <c r="C31" t="str">
        <v>Steel Widgets (HS: 732690) — Country of Origin: Nigeria</v>
      </c>
      <c r="E31" s="1">
        <v>500</v>
      </c>
      <c r="F31" s="2">
        <v>3750</v>
      </c>
      <c r="G31" s="2">
        <f>E31*F31</f>
      </c>
    </row>
    <row r="32">
      <c r="B32">
        <v>2</v>
      </c>
      <c r="C32" t="str">
        <v>Industrial Fasteners (HS: 731815) — Origin: Nigeria</v>
      </c>
      <c r="E32" s="1">
        <v>1000</v>
      </c>
      <c r="F32" s="2">
        <v>850</v>
      </c>
      <c r="G32" s="2">
        <f>E32*F32</f>
      </c>
    </row>
    <row r="33">
      <c r="B33">
        <v>3</v>
      </c>
      <c r="C33" t="str">
        <v>International Freight &amp; Insurance (CIF Hamburg)</v>
      </c>
      <c r="E33" s="1">
        <v>1</v>
      </c>
      <c r="F33" s="2">
        <v>320000</v>
      </c>
      <c r="G33" s="2">
        <f>E33*F33</f>
      </c>
    </row>
    <row r="34">
      <c r="B34">
        <v>4</v>
      </c>
      <c r="C34" t="str">
        <v/>
      </c>
      <c r="E34" s="1">
        <v>0</v>
      </c>
      <c r="F34" s="2">
        <v>0</v>
      </c>
      <c r="G34" s="2">
        <f>E34*F34</f>
      </c>
    </row>
    <row r="35">
      <c r="B35">
        <v>5</v>
      </c>
      <c r="C35" t="str">
        <v/>
      </c>
      <c r="E35" s="1">
        <v>0</v>
      </c>
      <c r="F35" s="2">
        <v>0</v>
      </c>
      <c r="G35" s="2">
        <f>E35*F35</f>
      </c>
    </row>
    <row r="36">
      <c r="B36">
        <v>6</v>
      </c>
      <c r="C36" t="str">
        <v/>
      </c>
      <c r="E36" s="1">
        <v>0</v>
      </c>
      <c r="F36" s="2">
        <v>0</v>
      </c>
      <c r="G36" s="2">
        <f>E36*F36</f>
      </c>
    </row>
    <row r="38">
      <c r="E38" t="str">
        <v>Subtotal:</v>
      </c>
      <c r="G38" s="2">
        <f>SUM(G31:G36)</f>
      </c>
    </row>
    <row r="39">
      <c r="E39" t="str">
        <v>VAT (%):</v>
      </c>
      <c r="F39" s="3">
        <v>0</v>
      </c>
      <c r="G39" s="2">
        <f>ROUND(G38*F39/100,2)</f>
      </c>
    </row>
    <row r="40">
      <c r="E40" t="str">
        <v>TOTAL DUE:</v>
      </c>
      <c r="G40" s="2">
        <f>G38+G39</f>
      </c>
    </row>
    <row r="41">
      <c r="E41" t="str">
        <v>Amount Paid:</v>
      </c>
      <c r="G41" s="2">
        <v>0</v>
      </c>
    </row>
    <row r="42">
      <c r="E42" t="str">
        <v>Balance Due:</v>
      </c>
      <c r="G42" s="2">
        <f>G40-G41</f>
      </c>
    </row>
    <row r="44">
      <c r="B44" t="str">
        <v>PAYMENT DETAILS</v>
      </c>
    </row>
    <row r="45">
      <c r="B45" t="str">
        <v>Bank:</v>
      </c>
      <c r="C45" t="str">
        <v>United Bank for Africa — Trade Desk</v>
      </c>
    </row>
    <row r="46">
      <c r="B46" t="str">
        <v>Account Name:</v>
      </c>
      <c r="C46" t="str">
        <v>Pan-Africa Exports Ltd</v>
      </c>
    </row>
    <row r="47">
      <c r="B47" t="str">
        <v>Account Number:</v>
      </c>
      <c r="C47" t="str">
        <v>2034567891</v>
      </c>
    </row>
    <row r="49">
      <c r="B49" t="str">
        <v>NOTES</v>
      </c>
    </row>
    <row r="50">
      <c r="B50" t="str">
        <v>We certify that the information on this invoice is true and correct, and that the contents and value are as stated. Goods are of Nigerian origin.</v>
      </c>
    </row>
    <row r="52">
      <c r="B52" t="str">
        <v>TERMS &amp; CONDITIONS</v>
      </c>
    </row>
    <row r="53">
      <c r="B53" t="str">
        <v>Payment by irrevocable Letter of Credit at sight. All banking charges outside Nigeria are for the account of the buyer.</v>
      </c>
    </row>
  </sheetData>
  <mergeCells count="22">
    <mergeCell ref="B1:G1"/>
    <mergeCell ref="B2:G2"/>
    <mergeCell ref="B18:G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30:D30"/>
    <mergeCell ref="C31:D31"/>
    <mergeCell ref="C32:D32"/>
    <mergeCell ref="C33:D33"/>
    <mergeCell ref="C34:D34"/>
    <mergeCell ref="C35:D35"/>
    <mergeCell ref="C36:D36"/>
    <mergeCell ref="B50:G50"/>
    <mergeCell ref="B53:G53"/>
  </mergeCells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