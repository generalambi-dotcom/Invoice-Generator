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Solid Build Contractors Ltd — Licensed Builder • COREN Registered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CON-2026-054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Mr. &amp; Mrs. Afolabi — Residential Build</v>
      </c>
      <c r="E14" t="str">
        <v>Project Site:</v>
      </c>
      <c r="F14" t="str">
        <v>Plot 47, Cocoa Avenue, Magodo Phase 2</v>
      </c>
    </row>
    <row r="15">
      <c r="B15" t="str">
        <v>Address:</v>
      </c>
      <c r="C15" t="str">
        <v>Plot 47, Cocoa Avenue, Magodo Phase 2, Lagos</v>
      </c>
      <c r="E15" t="str">
        <v>Work Period:</v>
      </c>
      <c r="F15" t="str">
        <v>March 4 – April 15, 2026</v>
      </c>
    </row>
    <row r="16">
      <c r="E16" t="str">
        <v>Foreman:</v>
      </c>
      <c r="F16" t="str">
        <v>Engr. Bola Akintola</v>
      </c>
    </row>
    <row r="17">
      <c r="E17" t="str">
        <v>Contract Reference:</v>
      </c>
      <c r="F17" t="str">
        <v>CT-AFB-2026</v>
      </c>
    </row>
    <row r="20">
      <c r="B20" t="str">
        <v>#</v>
      </c>
      <c r="C20" t="str">
        <v>Description</v>
      </c>
      <c r="E20" t="str">
        <v>Qty</v>
      </c>
      <c r="F20" t="str">
        <v>Unit Price (₦)</v>
      </c>
      <c r="G20" t="str">
        <v>Amount (₦)</v>
      </c>
    </row>
    <row r="21">
      <c r="B21">
        <v>1</v>
      </c>
      <c r="C21" t="str">
        <v>LABOUR — Drywall installation (hours)</v>
      </c>
      <c r="E21" s="1">
        <v>80</v>
      </c>
      <c r="F21" s="2">
        <v>4500</v>
      </c>
      <c r="G21" s="2">
        <f>E21*F21</f>
      </c>
    </row>
    <row r="22">
      <c r="B22">
        <v>2</v>
      </c>
      <c r="C22" t="str">
        <v>LABOUR — Tiling (hours)</v>
      </c>
      <c r="E22" s="1">
        <v>45</v>
      </c>
      <c r="F22" s="2">
        <v>5000</v>
      </c>
      <c r="G22" s="2">
        <f>E22*F22</f>
      </c>
    </row>
    <row r="23">
      <c r="B23">
        <v>3</v>
      </c>
      <c r="C23" t="str">
        <v>LABOUR — Electrical wiring &amp; fit-out (hours)</v>
      </c>
      <c r="E23" s="1">
        <v>30</v>
      </c>
      <c r="F23" s="2">
        <v>6000</v>
      </c>
      <c r="G23" s="2">
        <f>E23*F23</f>
      </c>
    </row>
    <row r="24">
      <c r="B24">
        <v>4</v>
      </c>
      <c r="C24" t="str">
        <v>MATERIALS — Drywall, screws, joint compound</v>
      </c>
      <c r="E24" s="1">
        <v>1</v>
      </c>
      <c r="F24" s="2">
        <v>285000</v>
      </c>
      <c r="G24" s="2">
        <f>E24*F24</f>
      </c>
    </row>
    <row r="25">
      <c r="B25">
        <v>5</v>
      </c>
      <c r="C25" t="str">
        <v>MATERIALS — Porcelain tiles (48 sqm)</v>
      </c>
      <c r="E25" s="1">
        <v>48</v>
      </c>
      <c r="F25" s="2">
        <v>7500</v>
      </c>
      <c r="G25" s="2">
        <f>E25*F25</f>
      </c>
    </row>
    <row r="26">
      <c r="B26">
        <v>6</v>
      </c>
      <c r="C26" t="str">
        <v>MATERIALS — Electrical fittings &amp; cabling</v>
      </c>
      <c r="E26" s="1">
        <v>1</v>
      </c>
      <c r="F26" s="2">
        <v>340000</v>
      </c>
      <c r="G26" s="2">
        <f>E26*F26</f>
      </c>
    </row>
    <row r="27">
      <c r="B27">
        <v>7</v>
      </c>
      <c r="C27" t="str">
        <v>EQUIPMENT — Scaffolding rental (3 weeks)</v>
      </c>
      <c r="E27" s="1">
        <v>21</v>
      </c>
      <c r="F27" s="2">
        <v>8500</v>
      </c>
      <c r="G27" s="2">
        <f>E27*F27</f>
      </c>
    </row>
    <row r="29">
      <c r="E29" t="str">
        <v>Subtotal:</v>
      </c>
      <c r="G29" s="2">
        <f>SUM(G21:G27)</f>
      </c>
    </row>
    <row r="30">
      <c r="E30" t="str">
        <v>VAT (%):</v>
      </c>
      <c r="F30" s="3">
        <v>7.5</v>
      </c>
      <c r="G30" s="2">
        <f>ROUND(G29*F30/100,2)</f>
      </c>
    </row>
    <row r="31">
      <c r="E31" t="str">
        <v>TOTAL DUE:</v>
      </c>
      <c r="G31" s="2">
        <f>G29+G30</f>
      </c>
    </row>
    <row r="32">
      <c r="E32" t="str">
        <v>Amount Paid:</v>
      </c>
      <c r="G32" s="2">
        <v>0</v>
      </c>
    </row>
    <row r="33">
      <c r="E33" t="str">
        <v>Balance Due:</v>
      </c>
      <c r="G33" s="2">
        <f>G31-G32</f>
      </c>
    </row>
    <row r="35">
      <c r="B35" t="str">
        <v>PAYMENT DETAILS</v>
      </c>
    </row>
    <row r="36">
      <c r="B36" t="str">
        <v>Bank:</v>
      </c>
      <c r="C36" t="str">
        <v>First Bank of Nigeria</v>
      </c>
    </row>
    <row r="37">
      <c r="B37" t="str">
        <v>Account Name:</v>
      </c>
      <c r="C37" t="str">
        <v>Solid Build Contractors Ltd</v>
      </c>
    </row>
    <row r="38">
      <c r="B38" t="str">
        <v>Account Number:</v>
      </c>
      <c r="C38" t="str">
        <v>3078904561</v>
      </c>
    </row>
    <row r="40">
      <c r="B40" t="str">
        <v>NOTES</v>
      </c>
    </row>
    <row r="41">
      <c r="B41" t="str">
        <v>Work stages completed per agreed schedule. All materials retained on site for final inspection. Snag list items addressed within 14 days of handover.</v>
      </c>
    </row>
    <row r="43">
      <c r="B43" t="str">
        <v>TERMS &amp; CONDITIONS</v>
      </c>
    </row>
    <row r="44">
      <c r="B44" t="str">
        <v>Progress payments per contract milestones. Retainage of 5% held for 60 days post-completion. All warranty matters governed by the signed contract.</v>
      </c>
    </row>
  </sheetData>
  <mergeCells count="12">
    <mergeCell ref="B1:G1"/>
    <mergeCell ref="B2:G2"/>
    <mergeCell ref="C20:D20"/>
    <mergeCell ref="C21:D21"/>
    <mergeCell ref="C22:D22"/>
    <mergeCell ref="C23:D23"/>
    <mergeCell ref="C24:D24"/>
    <mergeCell ref="C25:D25"/>
    <mergeCell ref="C26:D26"/>
    <mergeCell ref="C27:D27"/>
    <mergeCell ref="B41:G41"/>
    <mergeCell ref="B44:G44"/>
  </mergeCells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