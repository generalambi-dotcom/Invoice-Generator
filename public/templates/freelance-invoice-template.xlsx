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INVOICE</v>
      </c>
    </row>
    <row r="2">
      <c r="B2" t="str">
        <v>Chidi Okonkwo — Freelance Developer — Independent Contractor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FL-0023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Startup Client Inc</v>
      </c>
      <c r="E14" t="str">
        <v>Project:</v>
      </c>
      <c r="F14" t="str">
        <v>Startup Client Website — Phase 1</v>
      </c>
    </row>
    <row r="15">
      <c r="B15" t="str">
        <v>Address:</v>
      </c>
      <c r="C15" t="str">
        <v>Co-Working Hub, 14 Admiralty Way, Lekki Phase 1, Lagos</v>
      </c>
      <c r="E15" t="str">
        <v>Engagement Period:</v>
      </c>
      <c r="F15" t="str">
        <v>April 1 – April 17, 2026</v>
      </c>
    </row>
    <row r="16">
      <c r="E16" t="str">
        <v>Payment Method:</v>
      </c>
      <c r="F16" t="str">
        <v>Bank Transfer / Paystack Link</v>
      </c>
    </row>
    <row r="19">
      <c r="B19" t="str">
        <v>#</v>
      </c>
      <c r="C19" t="str">
        <v>Description</v>
      </c>
      <c r="E19" t="str">
        <v>Qty</v>
      </c>
      <c r="F19" t="str">
        <v>Unit Price (₦)</v>
      </c>
      <c r="G19" t="str">
        <v>Amount (₦)</v>
      </c>
    </row>
    <row r="20">
      <c r="B20">
        <v>1</v>
      </c>
      <c r="C20" t="str">
        <v>Website Development — Week 1 (40 hrs)</v>
      </c>
      <c r="E20" s="1">
        <v>40</v>
      </c>
      <c r="F20" s="2">
        <v>15000</v>
      </c>
      <c r="G20" s="2">
        <f>E20*F20</f>
      </c>
    </row>
    <row r="21">
      <c r="B21">
        <v>2</v>
      </c>
      <c r="C21" t="str">
        <v>Website Development — Week 2 (35 hrs)</v>
      </c>
      <c r="E21" s="1">
        <v>35</v>
      </c>
      <c r="F21" s="2">
        <v>15000</v>
      </c>
      <c r="G21" s="2">
        <f>E21*F21</f>
      </c>
    </row>
    <row r="22">
      <c r="B22">
        <v>3</v>
      </c>
      <c r="C22" t="str">
        <v>Bug fixes &amp; client review calls (hours)</v>
      </c>
      <c r="E22" s="1">
        <v>8</v>
      </c>
      <c r="F22" s="2">
        <v>15000</v>
      </c>
      <c r="G22" s="2">
        <f>E22*F22</f>
      </c>
    </row>
    <row r="23">
      <c r="B23">
        <v>4</v>
      </c>
      <c r="C23" t="str">
        <v/>
      </c>
      <c r="E23" s="1">
        <v>0</v>
      </c>
      <c r="F23" s="2">
        <v>0</v>
      </c>
      <c r="G23" s="2">
        <f>E23*F23</f>
      </c>
    </row>
    <row r="24">
      <c r="B24">
        <v>5</v>
      </c>
      <c r="C24" t="str">
        <v/>
      </c>
      <c r="E24" s="1">
        <v>0</v>
      </c>
      <c r="F24" s="2">
        <v>0</v>
      </c>
      <c r="G24" s="2">
        <f>E24*F24</f>
      </c>
    </row>
    <row r="25">
      <c r="B25">
        <v>6</v>
      </c>
      <c r="C25" t="str">
        <v/>
      </c>
      <c r="E25" s="1">
        <v>0</v>
      </c>
      <c r="F25" s="2">
        <v>0</v>
      </c>
      <c r="G25" s="2">
        <f>E25*F25</f>
      </c>
    </row>
    <row r="27">
      <c r="E27" t="str">
        <v>Subtotal:</v>
      </c>
      <c r="G27" s="2">
        <f>SUM(G20:G25)</f>
      </c>
    </row>
    <row r="28">
      <c r="E28" t="str">
        <v>VAT (%):</v>
      </c>
      <c r="F28" s="3">
        <v>7.5</v>
      </c>
      <c r="G28" s="2">
        <f>ROUND(G27*F28/100,2)</f>
      </c>
    </row>
    <row r="29">
      <c r="E29" t="str">
        <v>TOTAL DUE:</v>
      </c>
      <c r="G29" s="2">
        <f>G27+G28</f>
      </c>
    </row>
    <row r="30">
      <c r="E30" t="str">
        <v>Amount Paid:</v>
      </c>
      <c r="G30" s="2">
        <v>0</v>
      </c>
    </row>
    <row r="31">
      <c r="E31" t="str">
        <v>Balance Due:</v>
      </c>
      <c r="G31" s="2">
        <f>G29-G30</f>
      </c>
    </row>
    <row r="33">
      <c r="B33" t="str">
        <v>PAYMENT DETAILS</v>
      </c>
    </row>
    <row r="34">
      <c r="B34" t="str">
        <v>Bank:</v>
      </c>
      <c r="C34" t="str">
        <v>Kuda Bank</v>
      </c>
    </row>
    <row r="35">
      <c r="B35" t="str">
        <v>Account Name:</v>
      </c>
      <c r="C35" t="str">
        <v>Chidi Okonkwo</v>
      </c>
    </row>
    <row r="36">
      <c r="B36" t="str">
        <v>Account Number:</v>
      </c>
      <c r="C36" t="str">
        <v>3056789012</v>
      </c>
    </row>
    <row r="38">
      <c r="B38" t="str">
        <v>NOTES</v>
      </c>
    </row>
    <row r="39">
      <c r="B39" t="str">
        <v>Thank you! Prompt payment appreciated — it keeps this solo shop running. Paystack quick-pay link sent separately.</v>
      </c>
    </row>
    <row r="41">
      <c r="B41" t="str">
        <v>TERMS &amp; CONDITIONS</v>
      </c>
    </row>
    <row r="42">
      <c r="B42" t="str">
        <v>Payment due within 14 days. A 2% weekly late fee applies after due date. 50% deposit was received at project kick-off.</v>
      </c>
    </row>
  </sheetData>
  <mergeCells count="11">
    <mergeCell ref="B1:G1"/>
    <mergeCell ref="B2:G2"/>
    <mergeCell ref="C19:D19"/>
    <mergeCell ref="C20:D20"/>
    <mergeCell ref="C21:D21"/>
    <mergeCell ref="C22:D22"/>
    <mergeCell ref="C23:D23"/>
    <mergeCell ref="C24:D24"/>
    <mergeCell ref="C25:D25"/>
    <mergeCell ref="B39:G39"/>
    <mergeCell ref="B42:G42"/>
  </mergeCells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