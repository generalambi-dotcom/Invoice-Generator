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##"/>
    <numFmt numFmtId="61" formatCode="₦#,##0.00"/>
    <numFmt numFmtId="62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cols>
    <col min="1" max="1" width="2.83203125" customWidth="1"/>
    <col min="2" max="2" width="24.83203125" customWidth="1"/>
    <col min="3" max="3" width="30.83203125" customWidth="1"/>
    <col min="4" max="4" width="4.83203125" customWidth="1"/>
    <col min="5" max="5" width="22.83203125" customWidth="1"/>
    <col min="6" max="6" width="18.83203125" customWidth="1"/>
    <col min="7" max="7" width="20.83203125" customWidth="1"/>
  </cols>
  <sheetData>
    <row r="1">
      <c r="B1" t="str">
        <v>INVOICE</v>
      </c>
    </row>
    <row r="2">
      <c r="B2" t="str">
        <v>SwiftHaul Logistics — Trucking • Courier • Freight Forwarding</v>
      </c>
    </row>
    <row r="4">
      <c r="B4" t="str">
        <v>COMPANY INFORMATION</v>
      </c>
      <c r="E4" t="str">
        <v>INVOICE DETAILS</v>
      </c>
    </row>
    <row r="5">
      <c r="B5" t="str">
        <v>Address:</v>
      </c>
      <c r="C5" t="str">
        <v>123 Business Street, Lagos Island, Lagos State</v>
      </c>
      <c r="E5" t="str">
        <v>Document Type:</v>
      </c>
      <c r="F5" t="str">
        <v>INVOICE</v>
      </c>
    </row>
    <row r="6">
      <c r="B6" t="str">
        <v>Phone:</v>
      </c>
      <c r="C6" t="str">
        <v>+234 800 000 0000</v>
      </c>
      <c r="E6" t="str">
        <v>Invoice Number:</v>
      </c>
      <c r="F6" t="str">
        <v>FR-2026-892</v>
      </c>
    </row>
    <row r="7">
      <c r="B7" t="str">
        <v>Email:</v>
      </c>
      <c r="C7" t="str">
        <v>hello@yourbusiness.com</v>
      </c>
      <c r="E7" t="str">
        <v>Invoice Date:</v>
      </c>
      <c r="F7" t="str">
        <v>Apr 17, 2026</v>
      </c>
    </row>
    <row r="8">
      <c r="B8" t="str">
        <v>Website:</v>
      </c>
      <c r="C8" t="str">
        <v>www.yourbusiness.com</v>
      </c>
      <c r="E8" t="str">
        <v>Due Date:</v>
      </c>
      <c r="F8" t="str">
        <v>May 17, 2026</v>
      </c>
    </row>
    <row r="9">
      <c r="B9" t="str">
        <v>TIN:</v>
      </c>
      <c r="C9" t="str">
        <v>12345678</v>
      </c>
      <c r="E9" t="str">
        <v>Currency:</v>
      </c>
      <c r="F9" t="str">
        <v>NGN (₦)</v>
      </c>
    </row>
    <row r="10">
      <c r="B10" t="str">
        <v>VAT Reg (VRN):</v>
      </c>
      <c r="C10" t="str">
        <v>VRN-12345678-0001</v>
      </c>
      <c r="E10" t="str">
        <v>Status:</v>
      </c>
      <c r="F10" t="str">
        <v>UNPAID</v>
      </c>
    </row>
    <row r="11">
      <c r="B11" t="str">
        <v>CAC (RC No):</v>
      </c>
      <c r="C11" t="str">
        <v>1234567</v>
      </c>
    </row>
    <row r="13">
      <c r="B13" t="str">
        <v>BILL TO</v>
      </c>
      <c r="E13" t="str">
        <v>ADDITIONAL DETAILS</v>
      </c>
    </row>
    <row r="14">
      <c r="B14" t="str">
        <v>Client Name:</v>
      </c>
      <c r="C14" t="str">
        <v>Bulk Goods Traders Ltd</v>
      </c>
      <c r="E14" t="str">
        <v>Origin:</v>
      </c>
      <c r="F14" t="str">
        <v>Apapa Wharf, Lagos</v>
      </c>
    </row>
    <row r="15">
      <c r="B15" t="str">
        <v>Address:</v>
      </c>
      <c r="C15" t="str">
        <v>Warehouse 14, Apapa Wharf, Apapa, Lagos</v>
      </c>
      <c r="E15" t="str">
        <v>Destination:</v>
      </c>
      <c r="F15" t="str">
        <v>Bompai Industrial Estate, Kano</v>
      </c>
    </row>
    <row r="16">
      <c r="E16" t="str">
        <v>Trip Date:</v>
      </c>
      <c r="F16" t="str">
        <v>April 14 – 16, 2026</v>
      </c>
    </row>
    <row r="17">
      <c r="E17" t="str">
        <v>Distance:</v>
      </c>
      <c r="F17" t="str">
        <v>1,060 km</v>
      </c>
    </row>
    <row r="18">
      <c r="E18" t="str">
        <v>Total Weight:</v>
      </c>
      <c r="F18" t="str">
        <v>8,250 kg / 18 pallets</v>
      </c>
    </row>
    <row r="19">
      <c r="E19" t="str">
        <v>Tractor / Trailer:</v>
      </c>
      <c r="F19" t="str">
        <v>MAN TGX 26.540 / LTR-33</v>
      </c>
    </row>
    <row r="20">
      <c r="E20" t="str">
        <v>Bill of Lading:</v>
      </c>
      <c r="F20" t="str">
        <v>BL-SH-2026-0892</v>
      </c>
    </row>
    <row r="21">
      <c r="E21" t="str">
        <v>Driver:</v>
      </c>
      <c r="F21" t="str">
        <v>Mr. Musa Garba</v>
      </c>
    </row>
    <row r="24">
      <c r="B24" t="str">
        <v>#</v>
      </c>
      <c r="C24" t="str">
        <v>Description</v>
      </c>
      <c r="E24" t="str">
        <v>Qty</v>
      </c>
      <c r="F24" t="str">
        <v>Unit Price (₦)</v>
      </c>
      <c r="G24" t="str">
        <v>Amount (₦)</v>
      </c>
    </row>
    <row r="25">
      <c r="B25">
        <v>1</v>
      </c>
      <c r="C25" t="str">
        <v>LTL Freight Transport (Lagos → Kano)</v>
      </c>
      <c r="E25" s="1">
        <v>1</v>
      </c>
      <c r="F25" s="2">
        <v>450000</v>
      </c>
      <c r="G25" s="2">
        <f>E25*F25</f>
      </c>
    </row>
    <row r="26">
      <c r="B26">
        <v>2</v>
      </c>
      <c r="C26" t="str">
        <v>Fuel Surcharge (18%)</v>
      </c>
      <c r="E26" s="1">
        <v>1</v>
      </c>
      <c r="F26" s="2">
        <v>81000</v>
      </c>
      <c r="G26" s="2">
        <f>E26*F26</f>
      </c>
    </row>
    <row r="27">
      <c r="B27">
        <v>3</v>
      </c>
      <c r="C27" t="str">
        <v>Detention (hours over free time)</v>
      </c>
      <c r="E27" s="1">
        <v>3</v>
      </c>
      <c r="F27" s="2">
        <v>12500</v>
      </c>
      <c r="G27" s="2">
        <f>E27*F27</f>
      </c>
    </row>
    <row r="28">
      <c r="B28">
        <v>4</v>
      </c>
      <c r="C28" t="str">
        <v>Accessorials — Lumper/Unload</v>
      </c>
      <c r="E28" s="1">
        <v>1</v>
      </c>
      <c r="F28" s="2">
        <v>25000</v>
      </c>
      <c r="G28" s="2">
        <f>E28*F28</f>
      </c>
    </row>
    <row r="29">
      <c r="B29">
        <v>5</v>
      </c>
      <c r="C29" t="str">
        <v>Insurance — Goods in transit</v>
      </c>
      <c r="E29" s="1">
        <v>1</v>
      </c>
      <c r="F29" s="2">
        <v>35000</v>
      </c>
      <c r="G29" s="2">
        <f>E29*F29</f>
      </c>
    </row>
    <row r="30">
      <c r="B30">
        <v>6</v>
      </c>
      <c r="C30" t="str">
        <v/>
      </c>
      <c r="E30" s="1">
        <v>0</v>
      </c>
      <c r="F30" s="2">
        <v>0</v>
      </c>
      <c r="G30" s="2">
        <f>E30*F30</f>
      </c>
    </row>
    <row r="32">
      <c r="E32" t="str">
        <v>Subtotal:</v>
      </c>
      <c r="G32" s="2">
        <f>SUM(G25:G30)</f>
      </c>
    </row>
    <row r="33">
      <c r="E33" t="str">
        <v>VAT (%):</v>
      </c>
      <c r="F33" s="3">
        <v>7.5</v>
      </c>
      <c r="G33" s="2">
        <f>ROUND(G32*F33/100,2)</f>
      </c>
    </row>
    <row r="34">
      <c r="E34" t="str">
        <v>TOTAL DUE:</v>
      </c>
      <c r="G34" s="2">
        <f>G32+G33</f>
      </c>
    </row>
    <row r="35">
      <c r="E35" t="str">
        <v>Amount Paid:</v>
      </c>
      <c r="G35" s="2">
        <v>0</v>
      </c>
    </row>
    <row r="36">
      <c r="E36" t="str">
        <v>Balance Due:</v>
      </c>
      <c r="G36" s="2">
        <f>G34-G35</f>
      </c>
    </row>
    <row r="38">
      <c r="B38" t="str">
        <v>PAYMENT DETAILS</v>
      </c>
    </row>
    <row r="39">
      <c r="B39" t="str">
        <v>Bank:</v>
      </c>
      <c r="C39" t="str">
        <v>Zenith Bank</v>
      </c>
    </row>
    <row r="40">
      <c r="B40" t="str">
        <v>Account Name:</v>
      </c>
      <c r="C40" t="str">
        <v>SwiftHaul Logistics</v>
      </c>
    </row>
    <row r="41">
      <c r="B41" t="str">
        <v>Account Number:</v>
      </c>
      <c r="C41" t="str">
        <v>1018459632</v>
      </c>
    </row>
    <row r="43">
      <c r="B43" t="str">
        <v>NOTES</v>
      </c>
    </row>
    <row r="44">
      <c r="B44" t="str">
        <v>Proof of delivery (POD) attached. Claims for loss or damage must be reported within 7 days.</v>
      </c>
    </row>
    <row r="46">
      <c r="B46" t="str">
        <v>TERMS &amp; CONDITIONS</v>
      </c>
    </row>
    <row r="47">
      <c r="B47" t="str">
        <v>Payment due within 30 days. Demurrage and detention charges apply as per tariff. Goods carried subject to our Standard Trading Conditions.</v>
      </c>
    </row>
  </sheetData>
  <mergeCells count="11">
    <mergeCell ref="B1:G1"/>
    <mergeCell ref="B2:G2"/>
    <mergeCell ref="C24:D24"/>
    <mergeCell ref="C25:D25"/>
    <mergeCell ref="C26:D26"/>
    <mergeCell ref="C27:D27"/>
    <mergeCell ref="C28:D28"/>
    <mergeCell ref="C29:D29"/>
    <mergeCell ref="C30:D30"/>
    <mergeCell ref="B44:G44"/>
    <mergeCell ref="B47:G47"/>
  </mergeCells>
  <ignoredErrors>
    <ignoredError numberStoredAsText="1" sqref="A1:G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