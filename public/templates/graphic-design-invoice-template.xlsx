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0.##"/>
    <numFmt numFmtId="61" formatCode="₦#,##0.00"/>
    <numFmt numFmtId="62" formatCode="0.00&quot;%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3"/>
  <sheetViews>
    <sheetView workbookViewId="0"/>
  </sheetViews>
  <cols>
    <col min="1" max="1" width="2.83203125" customWidth="1"/>
    <col min="2" max="2" width="24.83203125" customWidth="1"/>
    <col min="3" max="3" width="30.83203125" customWidth="1"/>
    <col min="4" max="4" width="4.83203125" customWidth="1"/>
    <col min="5" max="5" width="22.83203125" customWidth="1"/>
    <col min="6" max="6" width="18.83203125" customWidth="1"/>
    <col min="7" max="7" width="20.83203125" customWidth="1"/>
  </cols>
  <sheetData>
    <row r="1">
      <c r="B1" t="str">
        <v>INVOICE</v>
      </c>
    </row>
    <row r="2">
      <c r="B2" t="str">
        <v>Pixel &amp; Ink Design Studio — Brand Identity • Illustration • Print</v>
      </c>
    </row>
    <row r="4">
      <c r="B4" t="str">
        <v>COMPANY INFORMATION</v>
      </c>
      <c r="E4" t="str">
        <v>INVOICE DETAILS</v>
      </c>
    </row>
    <row r="5">
      <c r="B5" t="str">
        <v>Address:</v>
      </c>
      <c r="C5" t="str">
        <v>123 Business Street, Lagos Island, Lagos State</v>
      </c>
      <c r="E5" t="str">
        <v>Document Type:</v>
      </c>
      <c r="F5" t="str">
        <v>INVOICE</v>
      </c>
    </row>
    <row r="6">
      <c r="B6" t="str">
        <v>Phone:</v>
      </c>
      <c r="C6" t="str">
        <v>+234 800 000 0000</v>
      </c>
      <c r="E6" t="str">
        <v>Invoice Number:</v>
      </c>
      <c r="F6" t="str">
        <v>GD-2026-031</v>
      </c>
    </row>
    <row r="7">
      <c r="B7" t="str">
        <v>Email:</v>
      </c>
      <c r="C7" t="str">
        <v>hello@yourbusiness.com</v>
      </c>
      <c r="E7" t="str">
        <v>Invoice Date:</v>
      </c>
      <c r="F7" t="str">
        <v>Apr 17, 2026</v>
      </c>
    </row>
    <row r="8">
      <c r="B8" t="str">
        <v>Website:</v>
      </c>
      <c r="C8" t="str">
        <v>www.yourbusiness.com</v>
      </c>
      <c r="E8" t="str">
        <v>Due Date:</v>
      </c>
      <c r="F8" t="str">
        <v>May 17, 2026</v>
      </c>
    </row>
    <row r="9">
      <c r="B9" t="str">
        <v>TIN:</v>
      </c>
      <c r="C9" t="str">
        <v>12345678</v>
      </c>
      <c r="E9" t="str">
        <v>Currency:</v>
      </c>
      <c r="F9" t="str">
        <v>NGN (₦)</v>
      </c>
    </row>
    <row r="10">
      <c r="B10" t="str">
        <v>VAT Reg (VRN):</v>
      </c>
      <c r="C10" t="str">
        <v>VRN-12345678-0001</v>
      </c>
      <c r="E10" t="str">
        <v>Status:</v>
      </c>
      <c r="F10" t="str">
        <v>UNPAID</v>
      </c>
    </row>
    <row r="11">
      <c r="B11" t="str">
        <v>CAC (RC No):</v>
      </c>
      <c r="C11" t="str">
        <v>1234567</v>
      </c>
    </row>
    <row r="13">
      <c r="B13" t="str">
        <v>BILL TO</v>
      </c>
      <c r="E13" t="str">
        <v>ADDITIONAL DETAILS</v>
      </c>
    </row>
    <row r="14">
      <c r="B14" t="str">
        <v>Client Name:</v>
      </c>
      <c r="C14" t="str">
        <v>Brightleaf Foods Ltd</v>
      </c>
      <c r="E14" t="str">
        <v>Project:</v>
      </c>
      <c r="F14" t="str">
        <v>Brightleaf Foods — Rebrand</v>
      </c>
    </row>
    <row r="15">
      <c r="B15" t="str">
        <v>Address:</v>
      </c>
      <c r="C15" t="str">
        <v>12 Industrial Way, Ikeja, Lagos</v>
      </c>
      <c r="E15" t="str">
        <v>Deliverables:</v>
      </c>
      <c r="F15" t="str">
        <v>Logo (AI/SVG/PNG), brand guide (PDF), label files (AI)</v>
      </c>
    </row>
    <row r="16">
      <c r="E16" t="str">
        <v>Licence:</v>
      </c>
      <c r="F16" t="str">
        <v>Unlimited commercial, worldwide, perpetual</v>
      </c>
    </row>
    <row r="19">
      <c r="B19" t="str">
        <v>#</v>
      </c>
      <c r="C19" t="str">
        <v>Description</v>
      </c>
      <c r="E19" t="str">
        <v>Qty</v>
      </c>
      <c r="F19" t="str">
        <v>Unit Price (₦)</v>
      </c>
      <c r="G19" t="str">
        <v>Amount (₦)</v>
      </c>
    </row>
    <row r="20">
      <c r="B20">
        <v>1</v>
      </c>
      <c r="C20" t="str">
        <v>Logo Concept Package (3 directions + refinement)</v>
      </c>
      <c r="E20" s="1">
        <v>1</v>
      </c>
      <c r="F20" s="2">
        <v>350000</v>
      </c>
      <c r="G20" s="2">
        <f>E20*F20</f>
      </c>
    </row>
    <row r="21">
      <c r="B21">
        <v>2</v>
      </c>
      <c r="C21" t="str">
        <v>Full Brand Kit (Guidelines + Colour + Type)</v>
      </c>
      <c r="E21" s="1">
        <v>1</v>
      </c>
      <c r="F21" s="2">
        <v>250000</v>
      </c>
      <c r="G21" s="2">
        <f>E21*F21</f>
      </c>
    </row>
    <row r="22">
      <c r="B22">
        <v>3</v>
      </c>
      <c r="C22" t="str">
        <v>Packaging Label Design — 4 SKUs</v>
      </c>
      <c r="E22" s="1">
        <v>4</v>
      </c>
      <c r="F22" s="2">
        <v>85000</v>
      </c>
      <c r="G22" s="2">
        <f>E22*F22</f>
      </c>
    </row>
    <row r="23">
      <c r="B23">
        <v>4</v>
      </c>
      <c r="C23" t="str">
        <v>Additional Revision Round</v>
      </c>
      <c r="E23" s="1">
        <v>2</v>
      </c>
      <c r="F23" s="2">
        <v>45000</v>
      </c>
      <c r="G23" s="2">
        <f>E23*F23</f>
      </c>
    </row>
    <row r="24">
      <c r="B24">
        <v>5</v>
      </c>
      <c r="C24" t="str">
        <v/>
      </c>
      <c r="E24" s="1">
        <v>0</v>
      </c>
      <c r="F24" s="2">
        <v>0</v>
      </c>
      <c r="G24" s="2">
        <f>E24*F24</f>
      </c>
    </row>
    <row r="25">
      <c r="B25">
        <v>6</v>
      </c>
      <c r="C25" t="str">
        <v/>
      </c>
      <c r="E25" s="1">
        <v>0</v>
      </c>
      <c r="F25" s="2">
        <v>0</v>
      </c>
      <c r="G25" s="2">
        <f>E25*F25</f>
      </c>
    </row>
    <row r="27">
      <c r="E27" t="str">
        <v>Subtotal:</v>
      </c>
      <c r="G27" s="2">
        <f>SUM(G20:G25)</f>
      </c>
    </row>
    <row r="28">
      <c r="E28" t="str">
        <v>VAT (%):</v>
      </c>
      <c r="F28" s="3">
        <v>7.5</v>
      </c>
      <c r="G28" s="2">
        <f>ROUND(G27*F28/100,2)</f>
      </c>
    </row>
    <row r="29">
      <c r="E29" t="str">
        <v>TOTAL DUE:</v>
      </c>
      <c r="G29" s="2">
        <f>G27+G28</f>
      </c>
    </row>
    <row r="30">
      <c r="E30" t="str">
        <v>Amount Paid:</v>
      </c>
      <c r="G30" s="2">
        <v>0</v>
      </c>
    </row>
    <row r="31">
      <c r="E31" t="str">
        <v>Balance Due:</v>
      </c>
      <c r="G31" s="2">
        <f>G29-G30</f>
      </c>
    </row>
    <row r="33">
      <c r="B33" t="str">
        <v>PAYMENT DETAILS</v>
      </c>
    </row>
    <row r="34">
      <c r="B34" t="str">
        <v>Bank:</v>
      </c>
      <c r="C34" t="str">
        <v>Stanbic IBTC</v>
      </c>
    </row>
    <row r="35">
      <c r="B35" t="str">
        <v>Account Name:</v>
      </c>
      <c r="C35" t="str">
        <v>Pixel &amp; Ink Design Studio</v>
      </c>
    </row>
    <row r="36">
      <c r="B36" t="str">
        <v>Account Number:</v>
      </c>
      <c r="C36" t="str">
        <v>9012345678</v>
      </c>
    </row>
    <row r="38">
      <c r="B38" t="str">
        <v>NOTES</v>
      </c>
    </row>
    <row r="39">
      <c r="B39" t="str">
        <v>Source files are released upon final payment. You will receive a branded PDF style guide and all production-ready assets.</v>
      </c>
    </row>
    <row r="41">
      <c r="B41" t="str">
        <v>TERMS &amp; CONDITIONS</v>
      </c>
    </row>
    <row r="42">
      <c r="B42" t="str">
        <v>50% deposit to start, 50% on delivery. Two revision rounds per deliverable included; additional rounds charged at listed rate.</v>
      </c>
    </row>
  </sheetData>
  <mergeCells count="11">
    <mergeCell ref="B1:G1"/>
    <mergeCell ref="B2:G2"/>
    <mergeCell ref="C19:D19"/>
    <mergeCell ref="C20:D20"/>
    <mergeCell ref="C21:D21"/>
    <mergeCell ref="C22:D22"/>
    <mergeCell ref="C23:D23"/>
    <mergeCell ref="C24:D24"/>
    <mergeCell ref="C25:D25"/>
    <mergeCell ref="B39:G39"/>
    <mergeCell ref="B42:G42"/>
  </mergeCells>
  <ignoredErrors>
    <ignoredError numberStoredAsText="1" sqref="A1:G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