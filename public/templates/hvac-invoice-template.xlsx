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CoolAir HVAC Ltd — HVAC Installation • Maintenance • 24-Hour Service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HVC-2026-087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Bluehorizon Offices Ltd</v>
      </c>
      <c r="E14" t="str">
        <v>Unit Make / Model:</v>
      </c>
      <c r="F14" t="str">
        <v>Daikin FTXS35G — Split System</v>
      </c>
    </row>
    <row r="15">
      <c r="B15" t="str">
        <v>Address:</v>
      </c>
      <c r="C15" t="str">
        <v>15th Floor, Great Nigeria House, Broad Street, Lagos Island</v>
      </c>
      <c r="E15" t="str">
        <v>Serial Number:</v>
      </c>
      <c r="F15" t="str">
        <v>DK2023-8847291</v>
      </c>
    </row>
    <row r="16">
      <c r="E16" t="str">
        <v>Service Date:</v>
      </c>
      <c r="F16" t="str">
        <v>April 16, 2026</v>
      </c>
    </row>
    <row r="17">
      <c r="E17" t="str">
        <v>Technician:</v>
      </c>
      <c r="F17" t="str">
        <v>Engr. Ibrahim Sanusi (HVAC-Cert #4412)</v>
      </c>
    </row>
    <row r="18">
      <c r="E18" t="str">
        <v>Warranty:</v>
      </c>
      <c r="F18" t="str">
        <v>1-year parts, 6-month labour</v>
      </c>
    </row>
    <row r="19">
      <c r="E19" t="str">
        <v>Next Service Due:</v>
      </c>
      <c r="F19" t="str">
        <v>October 16, 2026</v>
      </c>
    </row>
    <row r="22">
      <c r="B22" t="str">
        <v>#</v>
      </c>
      <c r="C22" t="str">
        <v>Description</v>
      </c>
      <c r="E22" t="str">
        <v>Qty</v>
      </c>
      <c r="F22" t="str">
        <v>Unit Price (₦)</v>
      </c>
      <c r="G22" t="str">
        <v>Amount (₦)</v>
      </c>
    </row>
    <row r="23">
      <c r="B23">
        <v>1</v>
      </c>
      <c r="C23" t="str">
        <v>AC Unit Diagnostic &amp; Inspection (Full System)</v>
      </c>
      <c r="E23" s="1">
        <v>1</v>
      </c>
      <c r="F23" s="2">
        <v>35000</v>
      </c>
      <c r="G23" s="2">
        <f>E23*F23</f>
      </c>
    </row>
    <row r="24">
      <c r="B24">
        <v>2</v>
      </c>
      <c r="C24" t="str">
        <v>Labour — Compressor replacement (hours)</v>
      </c>
      <c r="E24" s="1">
        <v>4</v>
      </c>
      <c r="F24" s="2">
        <v>15000</v>
      </c>
      <c r="G24" s="2">
        <f>E24*F24</f>
      </c>
    </row>
    <row r="25">
      <c r="B25">
        <v>3</v>
      </c>
      <c r="C25" t="str">
        <v>Labour — Refrigerant recharge (hours)</v>
      </c>
      <c r="E25" s="1">
        <v>2</v>
      </c>
      <c r="F25" s="2">
        <v>12000</v>
      </c>
      <c r="G25" s="2">
        <f>E25*F25</f>
      </c>
    </row>
    <row r="26">
      <c r="B26">
        <v>4</v>
      </c>
      <c r="C26" t="str">
        <v>Parts — Replacement Compressor (Daikin DC-3.5)</v>
      </c>
      <c r="E26" s="1">
        <v>1</v>
      </c>
      <c r="F26" s="2">
        <v>285000</v>
      </c>
      <c r="G26" s="2">
        <f>E26*F26</f>
      </c>
    </row>
    <row r="27">
      <c r="B27">
        <v>5</v>
      </c>
      <c r="C27" t="str">
        <v>Parts — R-410A Refrigerant (lbs)</v>
      </c>
      <c r="E27" s="1">
        <v>4</v>
      </c>
      <c r="F27" s="2">
        <v>15000</v>
      </c>
      <c r="G27" s="2">
        <f>E27*F27</f>
      </c>
    </row>
    <row r="28">
      <c r="B28">
        <v>6</v>
      </c>
      <c r="C28" t="str">
        <v>Parts — Air Filter (Pleated, 4-pack)</v>
      </c>
      <c r="E28" s="1">
        <v>1</v>
      </c>
      <c r="F28" s="2">
        <v>18500</v>
      </c>
      <c r="G28" s="2">
        <f>E28*F28</f>
      </c>
    </row>
    <row r="30">
      <c r="E30" t="str">
        <v>Subtotal:</v>
      </c>
      <c r="G30" s="2">
        <f>SUM(G23:G28)</f>
      </c>
    </row>
    <row r="31">
      <c r="E31" t="str">
        <v>VAT (%):</v>
      </c>
      <c r="F31" s="3">
        <v>7.5</v>
      </c>
      <c r="G31" s="2">
        <f>ROUND(G30*F31/100,2)</f>
      </c>
    </row>
    <row r="32">
      <c r="E32" t="str">
        <v>TOTAL DUE:</v>
      </c>
      <c r="G32" s="2">
        <f>G30+G31</f>
      </c>
    </row>
    <row r="33">
      <c r="E33" t="str">
        <v>Amount Paid:</v>
      </c>
      <c r="G33" s="2">
        <v>0</v>
      </c>
    </row>
    <row r="34">
      <c r="E34" t="str">
        <v>Balance Due:</v>
      </c>
      <c r="G34" s="2">
        <f>G32-G33</f>
      </c>
    </row>
    <row r="36">
      <c r="B36" t="str">
        <v>PAYMENT DETAILS</v>
      </c>
    </row>
    <row r="37">
      <c r="B37" t="str">
        <v>Bank:</v>
      </c>
      <c r="C37" t="str">
        <v>Ecobank</v>
      </c>
    </row>
    <row r="38">
      <c r="B38" t="str">
        <v>Account Name:</v>
      </c>
      <c r="C38" t="str">
        <v>CoolAir HVAC Ltd</v>
      </c>
    </row>
    <row r="39">
      <c r="B39" t="str">
        <v>Account Number:</v>
      </c>
      <c r="C39" t="str">
        <v>5014789652</v>
      </c>
    </row>
    <row r="41">
      <c r="B41" t="str">
        <v>NOTES</v>
      </c>
    </row>
    <row r="42">
      <c r="B42" t="str">
        <v>Unit tested and operational. Recommended: change filter every 90 days and schedule semi-annual preventative maintenance.</v>
      </c>
    </row>
    <row r="44">
      <c r="B44" t="str">
        <v>TERMS &amp; CONDITIONS</v>
      </c>
    </row>
    <row r="45">
      <c r="B45" t="str">
        <v>Payment is due within 30 days of invoice date. A 1.5% per month late fee applies to overdue balances. Disputes must be raised within 7 days of receipt.</v>
      </c>
    </row>
  </sheetData>
  <mergeCells count="11">
    <mergeCell ref="B1:G1"/>
    <mergeCell ref="B2:G2"/>
    <mergeCell ref="C22:D22"/>
    <mergeCell ref="C23:D23"/>
    <mergeCell ref="C24:D24"/>
    <mergeCell ref="C25:D25"/>
    <mergeCell ref="C26:D26"/>
    <mergeCell ref="C27:D27"/>
    <mergeCell ref="C28:D28"/>
    <mergeCell ref="B42:G42"/>
    <mergeCell ref="B45:G45"/>
  </mergeCells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