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Tax Invoice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60" formatCode="₦#,##0.00"/>
    <numFmt numFmtId="61" formatCode="0.00&quot;%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1" fontId="0" fillId="0" borderId="0" xfId="0" applyNumberFormat="1"/>
    <xf numFmtId="60" fontId="0" fillId="0" borderId="0" xfId="0" applyNumberFormat="1"/>
    <xf numFmtId="6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50"/>
  <sheetViews>
    <sheetView workbookViewId="0"/>
  </sheetViews>
  <cols>
    <col min="1" max="1" width="2.83203125" customWidth="1"/>
    <col min="2" max="2" width="24.83203125" customWidth="1"/>
    <col min="3" max="3" width="28.83203125" customWidth="1"/>
    <col min="4" max="4" width="4.83203125" customWidth="1"/>
    <col min="5" max="5" width="22.83203125" customWidth="1"/>
    <col min="6" max="6" width="18.83203125" customWidth="1"/>
    <col min="7" max="7" width="20.83203125" customWidth="1"/>
  </cols>
  <sheetData>
    <row r="1" ht="28" customHeight="1">
      <c r="B1" t="str">
        <v>TAX INVOICE</v>
      </c>
    </row>
    <row r="2">
      <c r="B2" t="str">
        <v>Generated by InvoiceGenerator.ng — Free Invoice Generator for Nigerian Businesses</v>
      </c>
    </row>
    <row r="3"/>
    <row r="4" ht="18" customHeight="1">
      <c r="B4" t="str">
        <v>COMPANY INFORMATION</v>
      </c>
      <c r="E4" t="str">
        <v>INVOICE DETAILS</v>
      </c>
    </row>
    <row r="5">
      <c r="B5" t="str">
        <v>Company Name:</v>
      </c>
      <c r="C5" t="str">
        <v>Your Business Name</v>
      </c>
      <c r="E5" t="str">
        <v>Invoice Number:</v>
      </c>
      <c r="F5" t="str">
        <v>INV-001</v>
      </c>
    </row>
    <row r="6">
      <c r="B6" t="str">
        <v>Address:</v>
      </c>
      <c r="C6" t="str">
        <v>123 Business Street</v>
      </c>
      <c r="E6" t="str">
        <v>Invoice Date:</v>
      </c>
      <c r="F6" t="str">
        <v>Apr 17, 2026</v>
      </c>
    </row>
    <row r="7">
      <c r="B7" t="str">
        <v>City / State:</v>
      </c>
      <c r="C7" t="str">
        <v>Lagos Island, Lagos State</v>
      </c>
      <c r="E7" t="str">
        <v>Due Date:</v>
      </c>
      <c r="F7" t="str">
        <v>May 17, 2026</v>
      </c>
    </row>
    <row r="8">
      <c r="B8" t="str">
        <v>Phone:</v>
      </c>
      <c r="C8" t="str">
        <v>+234 800 000 0000</v>
      </c>
      <c r="E8" t="str">
        <v>PO Number:</v>
      </c>
      <c r="F8" t="str">
        <v>PO-2026-042</v>
      </c>
    </row>
    <row r="9">
      <c r="B9" t="str">
        <v>Email:</v>
      </c>
      <c r="C9" t="str">
        <v>hello@yourbusiness.com</v>
      </c>
      <c r="E9" t="str">
        <v>Currency:</v>
      </c>
      <c r="F9" t="str">
        <v>NGN (₦)</v>
      </c>
    </row>
    <row r="10">
      <c r="B10" t="str">
        <v>Website:</v>
      </c>
      <c r="C10" t="str">
        <v>www.yourbusiness.com</v>
      </c>
      <c r="E10" t="str">
        <v>Status:</v>
      </c>
      <c r="F10" t="str">
        <v>UNPAID</v>
      </c>
    </row>
    <row r="11">
      <c r="B11" t="str">
        <v>TIN:</v>
      </c>
      <c r="C11" t="str">
        <v>00000000</v>
      </c>
    </row>
    <row r="12">
      <c r="B12" t="str">
        <v>VAT Reg (VRN):</v>
      </c>
      <c r="C12" t="str">
        <v>VRN-00000000-0001</v>
      </c>
    </row>
    <row r="13">
      <c r="B13" t="str">
        <v>CAC (RC No):</v>
      </c>
      <c r="C13" t="str">
        <v>1234567</v>
      </c>
    </row>
    <row r="14"/>
    <row r="15" ht="18" customHeight="1">
      <c r="B15" t="str">
        <v>BILL TO</v>
      </c>
      <c r="E15" t="str">
        <v>PAYMENT / BANK DETAILS</v>
      </c>
    </row>
    <row r="16">
      <c r="B16" t="str">
        <v>Client Name:</v>
      </c>
      <c r="C16" t="str">
        <v>Acme Nigeria Limited</v>
      </c>
      <c r="E16" t="str">
        <v>Bank Name:</v>
      </c>
      <c r="F16" t="str">
        <v>First Bank of Nigeria</v>
      </c>
    </row>
    <row r="17">
      <c r="B17" t="str">
        <v>Address:</v>
      </c>
      <c r="C17" t="str">
        <v>45 Victoria Island Boulevard</v>
      </c>
      <c r="E17" t="str">
        <v>Account Name:</v>
      </c>
      <c r="F17" t="str">
        <v>Your Business Name</v>
      </c>
    </row>
    <row r="18">
      <c r="B18" t="str">
        <v>City / State:</v>
      </c>
      <c r="C18" t="str">
        <v>Victoria Island, Lagos</v>
      </c>
      <c r="E18" t="str">
        <v>Account Number:</v>
      </c>
      <c r="F18" t="str">
        <v>0123456789</v>
      </c>
    </row>
    <row r="19">
      <c r="B19" t="str">
        <v>Phone:</v>
      </c>
      <c r="C19" t="str">
        <v>+234 802 345 6789</v>
      </c>
      <c r="E19" t="str">
        <v>Sort Code:</v>
      </c>
      <c r="F19" t="str">
        <v>011</v>
      </c>
    </row>
    <row r="20">
      <c r="B20" t="str">
        <v>Email:</v>
      </c>
      <c r="C20" t="str">
        <v>accounts@acmenigeria.com</v>
      </c>
      <c r="E20" t="str">
        <v>Payment Terms:</v>
      </c>
      <c r="F20" t="str">
        <v>Net 30 Days</v>
      </c>
    </row>
    <row r="21">
      <c r="B21" t="str">
        <v>Client TIN:</v>
      </c>
      <c r="C21" t="str">
        <v>11111111</v>
      </c>
    </row>
    <row r="22"/>
    <row r="23" ht="18" customHeight="1">
      <c r="B23" t="str">
        <v>#</v>
      </c>
      <c r="C23" t="str">
        <v>Description</v>
      </c>
      <c r="E23" t="str">
        <v>Qty</v>
      </c>
      <c r="F23" t="str">
        <v>Unit Price (₦)</v>
      </c>
      <c r="G23" t="str">
        <v>Amount (₦)</v>
      </c>
    </row>
    <row r="24">
      <c r="B24">
        <v>1</v>
      </c>
      <c r="C24" t="str">
        <v>Website Design &amp; Development</v>
      </c>
      <c r="E24" s="1">
        <v>1</v>
      </c>
      <c r="F24" s="2">
        <v>250000</v>
      </c>
      <c r="G24" s="2">
        <f>E24*F24</f>
      </c>
    </row>
    <row r="25">
      <c r="B25">
        <v>2</v>
      </c>
      <c r="C25" t="str">
        <v>Monthly Hosting &amp; Maintenance</v>
      </c>
      <c r="E25" s="1">
        <v>3</v>
      </c>
      <c r="F25" s="2">
        <v>50000</v>
      </c>
      <c r="G25" s="2">
        <f>E25*F25</f>
      </c>
    </row>
    <row r="26">
      <c r="B26">
        <v>3</v>
      </c>
      <c r="C26" t="str">
        <v>SEO Optimisation Package</v>
      </c>
      <c r="E26" s="1">
        <v>1</v>
      </c>
      <c r="F26" s="2">
        <v>50000</v>
      </c>
      <c r="G26" s="2">
        <f>E26*F26</f>
      </c>
    </row>
    <row r="27">
      <c r="B27">
        <v>4</v>
      </c>
      <c r="C27" t="str">
        <v/>
      </c>
      <c r="E27" s="1">
        <v>0</v>
      </c>
      <c r="F27" s="2">
        <v>0</v>
      </c>
      <c r="G27" s="2">
        <f>E27*F27</f>
      </c>
    </row>
    <row r="28">
      <c r="B28">
        <v>5</v>
      </c>
      <c r="C28" t="str">
        <v/>
      </c>
      <c r="E28" s="1">
        <v>0</v>
      </c>
      <c r="F28" s="2">
        <v>0</v>
      </c>
      <c r="G28" s="2">
        <f>E28*F28</f>
      </c>
    </row>
    <row r="29">
      <c r="B29">
        <v>6</v>
      </c>
      <c r="C29" t="str">
        <v/>
      </c>
      <c r="E29" s="1">
        <v>0</v>
      </c>
      <c r="F29" s="2">
        <v>0</v>
      </c>
      <c r="G29" s="2">
        <f>E29*F29</f>
      </c>
    </row>
    <row r="30">
      <c r="B30">
        <v>7</v>
      </c>
      <c r="C30" t="str">
        <v/>
      </c>
      <c r="E30" s="1">
        <v>0</v>
      </c>
      <c r="F30" s="2">
        <v>0</v>
      </c>
      <c r="G30" s="2">
        <f>E30*F30</f>
      </c>
    </row>
    <row r="31">
      <c r="B31">
        <v>8</v>
      </c>
      <c r="C31" t="str">
        <v/>
      </c>
      <c r="E31" s="1">
        <v>0</v>
      </c>
      <c r="F31" s="2">
        <v>0</v>
      </c>
      <c r="G31" s="2">
        <f>E31*F31</f>
      </c>
    </row>
    <row r="32">
      <c r="B32">
        <v>9</v>
      </c>
      <c r="C32" t="str">
        <v/>
      </c>
      <c r="E32" s="1">
        <v>0</v>
      </c>
      <c r="F32" s="2">
        <v>0</v>
      </c>
      <c r="G32" s="2">
        <f>E32*F32</f>
      </c>
    </row>
    <row r="33">
      <c r="B33">
        <v>10</v>
      </c>
      <c r="C33" t="str">
        <v/>
      </c>
      <c r="E33" s="1">
        <v>0</v>
      </c>
      <c r="F33" s="2">
        <v>0</v>
      </c>
      <c r="G33" s="2">
        <f>E33*F33</f>
      </c>
    </row>
    <row r="34"/>
    <row r="35">
      <c r="E35" t="str">
        <v>Subtotal (₦):</v>
      </c>
      <c r="G35" s="2">
        <f>SUM(G24:G33)</f>
      </c>
    </row>
    <row r="36">
      <c r="E36" t="str">
        <v>Discount (%):</v>
      </c>
      <c r="F36" s="3">
        <v>0</v>
      </c>
      <c r="G36" s="2">
        <f>ROUND(G35*F36/100,2)</f>
      </c>
    </row>
    <row r="37">
      <c r="E37" t="str">
        <v>VAT (%):</v>
      </c>
      <c r="F37" s="3">
        <v>7.5</v>
      </c>
      <c r="G37" s="2">
        <f>ROUND((G35-G36)*F37/100,2)</f>
      </c>
    </row>
    <row r="38">
      <c r="E38" t="str">
        <v>Shipping (₦):</v>
      </c>
      <c r="G38" s="2">
        <v>0</v>
      </c>
    </row>
    <row r="39" ht="22" customHeight="1">
      <c r="E39" t="str">
        <v>TOTAL DUE (₦):</v>
      </c>
      <c r="G39" s="2">
        <f>G35-G36+G37+G38</f>
      </c>
    </row>
    <row r="40">
      <c r="E40" t="str">
        <v>Amount Paid (₦):</v>
      </c>
      <c r="G40" s="2">
        <v>0</v>
      </c>
    </row>
    <row r="41">
      <c r="E41" t="str">
        <v>Balance Due (₦):</v>
      </c>
      <c r="G41" s="2">
        <f>G39-G40</f>
      </c>
    </row>
    <row r="42">
      <c r="E42" t="str">
        <v>VAT per FIRS regulations (VAT Act Cap. V1 LFN 2004)</v>
      </c>
    </row>
    <row r="43"/>
    <row r="44">
      <c r="B44" t="str">
        <v>NOTES</v>
      </c>
    </row>
    <row r="45">
      <c r="B45" t="str">
        <v>Thank you for your business! Please reference the invoice number on your payment.</v>
      </c>
    </row>
    <row r="46"/>
    <row r="47">
      <c r="B47" t="str">
        <v>TERMS &amp; CONDITIONS</v>
      </c>
    </row>
    <row r="48">
      <c r="B48" t="str">
        <v>Payment due within 30 days of invoice date. A 1.5% per month late fee applies to overdue balances. Disputes must be raised within 7 days of receipt.</v>
      </c>
    </row>
    <row r="49"/>
    <row r="50"/>
  </sheetData>
  <mergeCells count="16">
    <mergeCell ref="B1:G1"/>
    <mergeCell ref="B2:G2"/>
    <mergeCell ref="C23:D23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E42:G42"/>
    <mergeCell ref="B45:G45"/>
    <mergeCell ref="B48:G48"/>
  </mergeCells>
  <ignoredErrors>
    <ignoredError numberStoredAsText="1" sqref="A1:G5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Tax Invoice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