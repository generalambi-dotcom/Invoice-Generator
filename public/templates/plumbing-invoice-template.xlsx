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AquaFlow Plumbing Services — Licensed Plumber • 24/7 Emergency Response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PLU-2026-118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Chief Adeniji</v>
      </c>
      <c r="E14" t="str">
        <v>Service Address:</v>
      </c>
      <c r="F14" t="str">
        <v>Block C, Flat 4, Lekki Gardens Estate</v>
      </c>
    </row>
    <row r="15">
      <c r="B15" t="str">
        <v>Address:</v>
      </c>
      <c r="C15" t="str">
        <v>Block C, Flat 4, Lekki Gardens Estate, Lagos</v>
      </c>
      <c r="E15" t="str">
        <v>Service Date:</v>
      </c>
      <c r="F15" t="str">
        <v>April 16, 2026 (11:30 PM call-out)</v>
      </c>
    </row>
    <row r="16">
      <c r="E16" t="str">
        <v>Technician:</v>
      </c>
      <c r="F16" t="str">
        <v>Mr. Emeka Obi</v>
      </c>
    </row>
    <row r="17">
      <c r="E17" t="str">
        <v>Warranty:</v>
      </c>
      <c r="F17" t="str">
        <v>90 days on labour; manufacturer warranty on parts</v>
      </c>
    </row>
    <row r="20">
      <c r="B20" t="str">
        <v>#</v>
      </c>
      <c r="C20" t="str">
        <v>Description</v>
      </c>
      <c r="E20" t="str">
        <v>Qty</v>
      </c>
      <c r="F20" t="str">
        <v>Unit Price (₦)</v>
      </c>
      <c r="G20" t="str">
        <v>Amount (₦)</v>
      </c>
    </row>
    <row r="21">
      <c r="B21">
        <v>1</v>
      </c>
      <c r="C21" t="str">
        <v>Emergency Call-Out Fee (After Hours)</v>
      </c>
      <c r="E21" s="1">
        <v>1</v>
      </c>
      <c r="F21" s="2">
        <v>25000</v>
      </c>
      <c r="G21" s="2">
        <f>E21*F21</f>
      </c>
    </row>
    <row r="22">
      <c r="B22">
        <v>2</v>
      </c>
      <c r="C22" t="str">
        <v>Labour — Kitchen main line unblock &amp; repair (hours)</v>
      </c>
      <c r="E22" s="1">
        <v>3</v>
      </c>
      <c r="F22" s="2">
        <v>12000</v>
      </c>
      <c r="G22" s="2">
        <f>E22*F22</f>
      </c>
    </row>
    <row r="23">
      <c r="B23">
        <v>3</v>
      </c>
      <c r="C23" t="str">
        <v>Labour — Bathroom tap replacement (hours)</v>
      </c>
      <c r="E23" s="1">
        <v>1.5</v>
      </c>
      <c r="F23" s="2">
        <v>10000</v>
      </c>
      <c r="G23" s="2">
        <f>E23*F23</f>
      </c>
    </row>
    <row r="24">
      <c r="B24">
        <v>4</v>
      </c>
      <c r="C24" t="str">
        <v>Materials — PVC pipes &amp; fittings</v>
      </c>
      <c r="E24" s="1">
        <v>1</v>
      </c>
      <c r="F24" s="2">
        <v>18500</v>
      </c>
      <c r="G24" s="2">
        <f>E24*F24</f>
      </c>
    </row>
    <row r="25">
      <c r="B25">
        <v>5</v>
      </c>
      <c r="C25" t="str">
        <v>Materials — Pressure-balance mixer tap</v>
      </c>
      <c r="E25" s="1">
        <v>2</v>
      </c>
      <c r="F25" s="2">
        <v>32000</v>
      </c>
      <c r="G25" s="2">
        <f>E25*F25</f>
      </c>
    </row>
    <row r="26">
      <c r="B26">
        <v>6</v>
      </c>
      <c r="C26" t="str">
        <v>Materials — Sealants &amp; jointing compound</v>
      </c>
      <c r="E26" s="1">
        <v>1</v>
      </c>
      <c r="F26" s="2">
        <v>4500</v>
      </c>
      <c r="G26" s="2">
        <f>E26*F26</f>
      </c>
    </row>
    <row r="28">
      <c r="E28" t="str">
        <v>Subtotal:</v>
      </c>
      <c r="G28" s="2">
        <f>SUM(G21:G26)</f>
      </c>
    </row>
    <row r="29">
      <c r="E29" t="str">
        <v>VAT (%):</v>
      </c>
      <c r="F29" s="3">
        <v>7.5</v>
      </c>
      <c r="G29" s="2">
        <f>ROUND(G28*F29/100,2)</f>
      </c>
    </row>
    <row r="30">
      <c r="E30" t="str">
        <v>TOTAL DUE:</v>
      </c>
      <c r="G30" s="2">
        <f>G28+G29</f>
      </c>
    </row>
    <row r="31">
      <c r="E31" t="str">
        <v>Amount Paid:</v>
      </c>
      <c r="G31" s="2">
        <v>0</v>
      </c>
    </row>
    <row r="32">
      <c r="E32" t="str">
        <v>Balance Due:</v>
      </c>
      <c r="G32" s="2">
        <f>G30-G31</f>
      </c>
    </row>
    <row r="34">
      <c r="B34" t="str">
        <v>PAYMENT DETAILS</v>
      </c>
    </row>
    <row r="35">
      <c r="B35" t="str">
        <v>Bank:</v>
      </c>
      <c r="C35" t="str">
        <v>FCMB</v>
      </c>
    </row>
    <row r="36">
      <c r="B36" t="str">
        <v>Account Name:</v>
      </c>
      <c r="C36" t="str">
        <v>AquaFlow Plumbing Services</v>
      </c>
    </row>
    <row r="37">
      <c r="B37" t="str">
        <v>Account Number:</v>
      </c>
      <c r="C37" t="str">
        <v>4021357896</v>
      </c>
    </row>
    <row r="39">
      <c r="B39" t="str">
        <v>NOTES</v>
      </c>
    </row>
    <row r="40">
      <c r="B40" t="str">
        <v>All installed parts are warranted by the manufacturer. Please contact us immediately if any leaks recur. Thank you for choosing AquaFlow.</v>
      </c>
    </row>
    <row r="42">
      <c r="B42" t="str">
        <v>TERMS &amp; CONDITIONS</v>
      </c>
    </row>
    <row r="43">
      <c r="B43" t="str">
        <v>Payment due on completion unless a service contract is in place. Emergency surcharge applies outside of 8 AM – 6 PM weekdays.</v>
      </c>
    </row>
  </sheetData>
  <mergeCells count="11">
    <mergeCell ref="B1:G1"/>
    <mergeCell ref="B2:G2"/>
    <mergeCell ref="C20:D20"/>
    <mergeCell ref="C21:D21"/>
    <mergeCell ref="C22:D22"/>
    <mergeCell ref="C23:D23"/>
    <mergeCell ref="C24:D24"/>
    <mergeCell ref="C25:D25"/>
    <mergeCell ref="C26:D26"/>
    <mergeCell ref="B40:G40"/>
    <mergeCell ref="B43:G43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