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ORMA 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PROFORMA INVOICE</v>
      </c>
    </row>
    <row r="2">
      <c r="B2" t="str">
        <v>Lagos Trading Co. Ltd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PROFORMA 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PF-2026-007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Valid Until: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ADDITIONAL DETAILS</v>
      </c>
    </row>
    <row r="14">
      <c r="B14" t="str">
        <v>Client Name:</v>
      </c>
      <c r="C14" t="str">
        <v>International Buyer Pte Ltd</v>
      </c>
      <c r="E14" t="str">
        <v>Valid Until:</v>
      </c>
      <c r="F14" t="str">
        <v>May 17, 2026 (30 days)</v>
      </c>
    </row>
    <row r="15">
      <c r="B15" t="str">
        <v>Address:</v>
      </c>
      <c r="C15" t="str">
        <v>8 Marina Bay View, Singapore 018956</v>
      </c>
      <c r="E15" t="str">
        <v>Payment Before:</v>
      </c>
      <c r="F15" t="str">
        <v>Shipment</v>
      </c>
    </row>
    <row r="16">
      <c r="E16" t="str">
        <v>Incoterms:</v>
      </c>
      <c r="F16" t="str">
        <v>FOB Lagos</v>
      </c>
    </row>
    <row r="19">
      <c r="B19" t="str">
        <v>#</v>
      </c>
      <c r="C19" t="str">
        <v>Description</v>
      </c>
      <c r="E19" t="str">
        <v>Qty</v>
      </c>
      <c r="F19" t="str">
        <v>Unit Price (₦)</v>
      </c>
      <c r="G19" t="str">
        <v>Amount (₦)</v>
      </c>
    </row>
    <row r="20">
      <c r="B20">
        <v>1</v>
      </c>
      <c r="C20" t="str">
        <v>Shea Butter (Bulk, Grade A)</v>
      </c>
      <c r="E20" s="1">
        <v>500</v>
      </c>
      <c r="F20" s="2">
        <v>12500</v>
      </c>
      <c r="G20" s="2">
        <f>E20*F20</f>
      </c>
    </row>
    <row r="21">
      <c r="B21">
        <v>2</v>
      </c>
      <c r="C21" t="str">
        <v>Premium Packaging</v>
      </c>
      <c r="E21" s="1">
        <v>1</v>
      </c>
      <c r="F21" s="2">
        <v>185000</v>
      </c>
      <c r="G21" s="2">
        <f>E21*F21</f>
      </c>
    </row>
    <row r="22">
      <c r="B22">
        <v>3</v>
      </c>
      <c r="C22" t="str">
        <v>Export Handling Fee</v>
      </c>
      <c r="E22" s="1">
        <v>1</v>
      </c>
      <c r="F22" s="2">
        <v>95000</v>
      </c>
      <c r="G22" s="2">
        <f>E22*F22</f>
      </c>
    </row>
    <row r="23">
      <c r="B23">
        <v>4</v>
      </c>
      <c r="C23" t="str">
        <v/>
      </c>
      <c r="E23" s="1">
        <v>0</v>
      </c>
      <c r="F23" s="2">
        <v>0</v>
      </c>
      <c r="G23" s="2">
        <f>E23*F23</f>
      </c>
    </row>
    <row r="24">
      <c r="B24">
        <v>5</v>
      </c>
      <c r="C24" t="str">
        <v/>
      </c>
      <c r="E24" s="1">
        <v>0</v>
      </c>
      <c r="F24" s="2">
        <v>0</v>
      </c>
      <c r="G24" s="2">
        <f>E24*F24</f>
      </c>
    </row>
    <row r="25">
      <c r="B25">
        <v>6</v>
      </c>
      <c r="C25" t="str">
        <v/>
      </c>
      <c r="E25" s="1">
        <v>0</v>
      </c>
      <c r="F25" s="2">
        <v>0</v>
      </c>
      <c r="G25" s="2">
        <f>E25*F25</f>
      </c>
    </row>
    <row r="27">
      <c r="E27" t="str">
        <v>Subtotal:</v>
      </c>
      <c r="G27" s="2">
        <f>SUM(G20:G25)</f>
      </c>
    </row>
    <row r="28">
      <c r="E28" t="str">
        <v>VAT (%):</v>
      </c>
      <c r="F28" s="3">
        <v>0</v>
      </c>
      <c r="G28" s="2">
        <f>ROUND(G27*F28/100,2)</f>
      </c>
    </row>
    <row r="29">
      <c r="E29" t="str">
        <v>ESTIMATED TOTAL:</v>
      </c>
      <c r="G29" s="2">
        <f>G27+G28</f>
      </c>
    </row>
    <row r="30">
      <c r="E30" t="str">
        <v>Amount Paid:</v>
      </c>
      <c r="G30" s="2">
        <v>0</v>
      </c>
    </row>
    <row r="31">
      <c r="E31" t="str">
        <v>Balance Due:</v>
      </c>
      <c r="G31" s="2">
        <f>G29-G30</f>
      </c>
    </row>
    <row r="33">
      <c r="B33" t="str">
        <v>PAYMENT DETAILS</v>
      </c>
    </row>
    <row r="34">
      <c r="B34" t="str">
        <v>Bank:</v>
      </c>
      <c r="C34" t="str">
        <v>Zenith Bank</v>
      </c>
    </row>
    <row r="35">
      <c r="B35" t="str">
        <v>Account Name:</v>
      </c>
      <c r="C35" t="str">
        <v>Lagos Trading Co. Ltd</v>
      </c>
    </row>
    <row r="36">
      <c r="B36" t="str">
        <v>Account Number:</v>
      </c>
      <c r="C36" t="str">
        <v>1012345678</v>
      </c>
    </row>
    <row r="38">
      <c r="B38" t="str">
        <v>NOTES</v>
      </c>
    </row>
    <row r="39">
      <c r="B39" t="str">
        <v>This is a proforma invoice issued for quotation and customs declaration purposes only. It is NOT a demand for payment or a final invoice. A commercial invoice will be issued upon order confirmation.</v>
      </c>
    </row>
    <row r="41">
      <c r="B41" t="str">
        <v>TERMS &amp; CONDITIONS</v>
      </c>
    </row>
    <row r="42">
      <c r="B42" t="str">
        <v>Quotation valid for 30 days. Prices subject to confirmation on order. 50% deposit required before production, balance before shipment.</v>
      </c>
    </row>
    <row r="44">
      <c r="B44" t="str">
        <v>This is NOT a tax invoice or demand for payment.</v>
      </c>
    </row>
  </sheetData>
  <mergeCells count="12">
    <mergeCell ref="B1:G1"/>
    <mergeCell ref="B2:G2"/>
    <mergeCell ref="C19:D19"/>
    <mergeCell ref="C20:D20"/>
    <mergeCell ref="C21:D21"/>
    <mergeCell ref="C22:D22"/>
    <mergeCell ref="C23:D23"/>
    <mergeCell ref="C24:D24"/>
    <mergeCell ref="C25:D25"/>
    <mergeCell ref="B39:G39"/>
    <mergeCell ref="B42:G42"/>
    <mergeCell ref="B44:G44"/>
  </mergeCells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